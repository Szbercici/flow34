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2026-27\CsapatVizsga\"/>
    </mc:Choice>
  </mc:AlternateContent>
  <bookViews>
    <workbookView xWindow="0" yWindow="0" windowWidth="28800" windowHeight="12300"/>
  </bookViews>
  <sheets>
    <sheet name="Munka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 i="1" l="1"/>
  <c r="I1" i="1"/>
  <c r="K1" i="1" l="1" a="1"/>
  <c r="K1" i="1" s="1"/>
  <c r="K2" i="1" a="1"/>
  <c r="K2" i="1" s="1"/>
  <c r="K3" i="1" a="1"/>
  <c r="K3" i="1" s="1"/>
</calcChain>
</file>

<file path=xl/sharedStrings.xml><?xml version="1.0" encoding="utf-8"?>
<sst xmlns="http://schemas.openxmlformats.org/spreadsheetml/2006/main" count="78" uniqueCount="67">
  <si>
    <t>Test ID</t>
  </si>
  <si>
    <t>Date</t>
  </si>
  <si>
    <t>Expected result</t>
  </si>
  <si>
    <t>Actual result</t>
  </si>
  <si>
    <t>Name</t>
  </si>
  <si>
    <t>Product Page</t>
  </si>
  <si>
    <t>All products appear, each type of product is shown in that type's row, the scroll works</t>
  </si>
  <si>
    <t>When you click on a product, that product's own page loads, containing all of its data from the database</t>
  </si>
  <si>
    <t>Products On Home Page</t>
  </si>
  <si>
    <t>Products Page</t>
  </si>
  <si>
    <t>All products appear horizontally on the home page, with img, name and price, loaded from the database. To see all of them you need to scroll, no matter where you scroll a product is always in the middle of the page</t>
  </si>
  <si>
    <t>Products have a page, all products show up, with img, name and price, with 3 products in a row</t>
  </si>
  <si>
    <t>Status</t>
  </si>
  <si>
    <t>Done</t>
  </si>
  <si>
    <t>Products page loads, 3 products in a row, all data is shown</t>
  </si>
  <si>
    <t>Page of the product loads, Img, name, description, price and "add to cart" button are shown</t>
  </si>
  <si>
    <t>About Page</t>
  </si>
  <si>
    <t>PROD-01</t>
  </si>
  <si>
    <t>PROD-02</t>
  </si>
  <si>
    <t>HOME-01</t>
  </si>
  <si>
    <t>HOME-02</t>
  </si>
  <si>
    <t>H-01</t>
  </si>
  <si>
    <t xml:space="preserve">When you click on the logo it brings you to the home page, only works when not on home page already </t>
  </si>
  <si>
    <t>Clicking on the logo brings you the home page when not already on it. When used on home page it does nothing.</t>
  </si>
  <si>
    <t>H-02</t>
  </si>
  <si>
    <t>Welcoming Video/img on home page</t>
  </si>
  <si>
    <t>On the top of the Home page, a short video appears and once it finishes then it swaps to a picture and repeat this infinitelly</t>
  </si>
  <si>
    <t>H-03</t>
  </si>
  <si>
    <t>HOME-03</t>
  </si>
  <si>
    <t>Moving Text</t>
  </si>
  <si>
    <t>A text containing the reasons why Flow's products are good for your health are moving through the screen</t>
  </si>
  <si>
    <t>The words are moving without any problem between the product rows where they supposed to be</t>
  </si>
  <si>
    <t>On the top of the Home page, a short video appears and once it finishes then it swaps to a picture and repeat this infinitelly, or you can swap yourself</t>
  </si>
  <si>
    <t>OTHER-01</t>
  </si>
  <si>
    <t>PROD-03</t>
  </si>
  <si>
    <t>Products Page After Update</t>
  </si>
  <si>
    <t>New products are added, works just like previously</t>
  </si>
  <si>
    <t>New products are there but they appear without images nad sometimes without price</t>
  </si>
  <si>
    <t>Error</t>
  </si>
  <si>
    <t>About Url</t>
  </si>
  <si>
    <t xml:space="preserve">When you click on the "About" text in the header it brings you to the About page, only works when not on About page already </t>
  </si>
  <si>
    <t>Clicking on the "About" text brings you the About page when not already on it. When used on About page it does nothing.</t>
  </si>
  <si>
    <t>Login Url</t>
  </si>
  <si>
    <t>Cart url</t>
  </si>
  <si>
    <t>Products url</t>
  </si>
  <si>
    <t>H-04</t>
  </si>
  <si>
    <t>H-05</t>
  </si>
  <si>
    <t xml:space="preserve">When you click on the "Products" text in the header it brings you to the Products page, only works when not on Products page already </t>
  </si>
  <si>
    <t>Clicking on the "Products" text brings you the Products page when not already on it. When used on Products page it does nothing.</t>
  </si>
  <si>
    <t>Clicking on the Cart icon brings you the Cart page when not already on it. When used on Cart page it does nothing.</t>
  </si>
  <si>
    <t xml:space="preserve">When you click on the Login text in the header it brings you to the Login page, only works when not on Login page already </t>
  </si>
  <si>
    <t>Clicking on the "Login" text brings you the Login page when not already on it. When used on Login page it does nothing.</t>
  </si>
  <si>
    <t xml:space="preserve">When you click on the Cart icon in the header it brings you to the Cart page, only works when not on Cart page already </t>
  </si>
  <si>
    <t>H-06</t>
  </si>
  <si>
    <t>Logo url-2</t>
  </si>
  <si>
    <t>Logo url-1</t>
  </si>
  <si>
    <t>Clicking on the logo brings you to the top of the Home page</t>
  </si>
  <si>
    <t>Only works when not already on Home page</t>
  </si>
  <si>
    <t>Error count:</t>
  </si>
  <si>
    <t>H-</t>
  </si>
  <si>
    <t>HOME-</t>
  </si>
  <si>
    <t>PROD-</t>
  </si>
  <si>
    <t>Done count:</t>
  </si>
  <si>
    <t>HOME-04</t>
  </si>
  <si>
    <t>Products Swiper</t>
  </si>
  <si>
    <t>Products scrollonHome Page is replaced with swiper,products can be swiped without a scroll button</t>
  </si>
  <si>
    <t>No scroll button, scrolling progress still shown, products can be swiped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</si>
</sst>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charset val="238"/>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s>
  <cellStyleXfs count="1">
    <xf numFmtId="0" fontId="0" fillId="0" borderId="0"/>
  </cellStyleXfs>
  <cellXfs count="15">
    <xf numFmtId="0" fontId="0" fillId="0" borderId="0" xfId="0"/>
    <xf numFmtId="0" fontId="0" fillId="0" borderId="0" xfId="0"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14" fontId="0" fillId="0" borderId="3" xfId="0" applyNumberFormat="1" applyBorder="1" applyAlignment="1">
      <alignment horizontal="center" vertical="center" wrapTex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14" fontId="0" fillId="0" borderId="1" xfId="0" applyNumberFormat="1" applyBorder="1" applyAlignment="1">
      <alignment horizontal="center" vertical="center" wrapText="1"/>
    </xf>
    <xf numFmtId="0" fontId="0" fillId="0" borderId="0" xfId="0" applyBorder="1" applyAlignment="1">
      <alignment horizontal="right" vertical="center" wrapText="1"/>
    </xf>
    <xf numFmtId="0" fontId="0" fillId="0" borderId="0" xfId="0" applyBorder="1" applyAlignment="1">
      <alignment horizontal="left" vertical="center" wrapText="1"/>
    </xf>
    <xf numFmtId="0" fontId="0" fillId="0" borderId="1" xfId="0" applyBorder="1" applyAlignment="1">
      <alignment horizontal="right" vertical="center" wrapText="1"/>
    </xf>
    <xf numFmtId="0" fontId="0" fillId="0" borderId="1" xfId="0" applyBorder="1" applyAlignment="1">
      <alignment horizontal="left" vertical="center" wrapText="1"/>
    </xf>
  </cellXfs>
  <cellStyles count="1">
    <cellStyle name="Normál" xfId="0" builtinId="0"/>
  </cellStyles>
  <dxfs count="6">
    <dxf>
      <fill>
        <patternFill>
          <bgColor rgb="FFFFC7CE"/>
        </patternFill>
      </fill>
    </dxf>
    <dxf>
      <font>
        <color theme="0"/>
      </font>
      <fill>
        <patternFill>
          <bgColor rgb="FFFF0000"/>
        </patternFill>
      </fill>
    </dxf>
    <dxf>
      <fill>
        <patternFill>
          <bgColor rgb="FFFFC7CE"/>
        </patternFill>
      </fill>
    </dxf>
    <dxf>
      <font>
        <color theme="0"/>
      </font>
      <fill>
        <patternFill>
          <bgColor rgb="FFFF0000"/>
        </patternFill>
      </fill>
    </dxf>
    <dxf>
      <fill>
        <patternFill>
          <bgColor rgb="FFFFC7CE"/>
        </patternFill>
      </fill>
    </dxf>
    <dxf>
      <font>
        <color theme="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8"/>
  <sheetViews>
    <sheetView tabSelected="1" workbookViewId="0">
      <selection activeCell="E18" sqref="E18"/>
    </sheetView>
  </sheetViews>
  <sheetFormatPr defaultColWidth="23.7109375" defaultRowHeight="116.25" customHeight="1" x14ac:dyDescent="0.25"/>
  <cols>
    <col min="1" max="1" width="14.42578125" style="2" customWidth="1"/>
    <col min="2" max="2" width="17.140625" style="2" customWidth="1"/>
    <col min="3" max="3" width="23.7109375" style="2"/>
    <col min="4" max="4" width="44" style="2" customWidth="1"/>
    <col min="5" max="5" width="32.5703125" style="6" customWidth="1"/>
    <col min="6" max="6" width="23.7109375" style="2"/>
    <col min="7" max="7" width="23.7109375" style="1"/>
    <col min="8" max="8" width="12.7109375" style="11" customWidth="1"/>
    <col min="9" max="9" width="8.7109375" style="12" customWidth="1"/>
    <col min="10" max="10" width="12.7109375" style="11" customWidth="1"/>
    <col min="11" max="11" width="8.7109375" style="12" customWidth="1"/>
    <col min="12" max="16384" width="23.7109375" style="1"/>
  </cols>
  <sheetData>
    <row r="1" spans="1:11" ht="116.25" customHeight="1" x14ac:dyDescent="0.25">
      <c r="A1" s="1"/>
      <c r="B1" s="1"/>
      <c r="C1" s="1"/>
      <c r="D1" s="1"/>
      <c r="E1" s="1"/>
      <c r="F1" s="1"/>
      <c r="H1" s="13" t="s">
        <v>58</v>
      </c>
      <c r="I1" s="14">
        <f>COUNTIF(F:F, "Error")</f>
        <v>2</v>
      </c>
      <c r="J1" s="13" t="s">
        <v>59</v>
      </c>
      <c r="K1" s="14">
        <f t="array" ref="K1">MAX(INDEX(IFERROR(VALUE(SUBSTITUTE(A5:A1003, "H-", "")), 0), 0))</f>
        <v>6</v>
      </c>
    </row>
    <row r="2" spans="1:11" ht="116.25" customHeight="1" x14ac:dyDescent="0.25">
      <c r="A2" s="1"/>
      <c r="B2" s="1"/>
      <c r="C2" s="1"/>
      <c r="D2" s="1"/>
      <c r="E2" s="1"/>
      <c r="F2" s="1"/>
      <c r="H2" s="13" t="s">
        <v>62</v>
      </c>
      <c r="I2" s="14">
        <f>COUNTIF(F:F, "Done")</f>
        <v>11</v>
      </c>
      <c r="J2" s="13" t="s">
        <v>60</v>
      </c>
      <c r="K2" s="14">
        <f t="array" ref="K2">MAX(INDEX(IFERROR(VALUE(SUBSTITUTE(A5:A1003, "HOME-", "")), 0), 0))</f>
        <v>4</v>
      </c>
    </row>
    <row r="3" spans="1:11" ht="116.25" customHeight="1" thickBot="1" x14ac:dyDescent="0.3">
      <c r="A3" s="1"/>
      <c r="B3" s="1"/>
      <c r="C3" s="1"/>
      <c r="D3" s="1"/>
      <c r="E3" s="1"/>
      <c r="F3" s="1"/>
      <c r="H3" s="13"/>
      <c r="I3" s="14"/>
      <c r="J3" s="13" t="s">
        <v>61</v>
      </c>
      <c r="K3" s="14">
        <f t="array" ref="K3">MAX(INDEX(IFERROR(VALUE(SUBSTITUTE(A5:A1003, "PROD-", "")), 0), 0))</f>
        <v>3</v>
      </c>
    </row>
    <row r="4" spans="1:11" ht="60.75" customHeight="1" thickBot="1" x14ac:dyDescent="0.3">
      <c r="A4" s="4" t="s">
        <v>0</v>
      </c>
      <c r="B4" s="4" t="s">
        <v>1</v>
      </c>
      <c r="C4" s="4" t="s">
        <v>4</v>
      </c>
      <c r="D4" s="4" t="s">
        <v>2</v>
      </c>
      <c r="E4" s="4" t="s">
        <v>3</v>
      </c>
      <c r="F4" s="4" t="s">
        <v>12</v>
      </c>
      <c r="H4" s="1"/>
      <c r="I4" s="1"/>
      <c r="J4" s="1"/>
      <c r="K4" s="1"/>
    </row>
    <row r="5" spans="1:11" ht="116.25" customHeight="1" x14ac:dyDescent="0.25">
      <c r="A5" s="3" t="s">
        <v>19</v>
      </c>
      <c r="B5" s="5">
        <v>46073</v>
      </c>
      <c r="C5" s="8" t="s">
        <v>8</v>
      </c>
      <c r="D5" s="8" t="s">
        <v>10</v>
      </c>
      <c r="E5" s="7" t="s">
        <v>6</v>
      </c>
      <c r="F5" s="3" t="s">
        <v>13</v>
      </c>
      <c r="H5" s="1"/>
      <c r="I5" s="1"/>
      <c r="J5" s="1"/>
      <c r="K5" s="1"/>
    </row>
    <row r="6" spans="1:11" ht="116.25" customHeight="1" x14ac:dyDescent="0.25">
      <c r="A6" s="2" t="s">
        <v>17</v>
      </c>
      <c r="B6" s="5">
        <v>46073</v>
      </c>
      <c r="C6" s="2" t="s">
        <v>9</v>
      </c>
      <c r="D6" s="2" t="s">
        <v>11</v>
      </c>
      <c r="E6" s="6" t="s">
        <v>14</v>
      </c>
      <c r="F6" s="2" t="s">
        <v>13</v>
      </c>
      <c r="H6" s="1"/>
      <c r="I6" s="1"/>
      <c r="J6" s="1"/>
      <c r="K6" s="1"/>
    </row>
    <row r="7" spans="1:11" ht="116.25" customHeight="1" x14ac:dyDescent="0.25">
      <c r="A7" s="2" t="s">
        <v>18</v>
      </c>
      <c r="B7" s="5">
        <v>46073</v>
      </c>
      <c r="C7" s="2" t="s">
        <v>5</v>
      </c>
      <c r="D7" s="2" t="s">
        <v>7</v>
      </c>
      <c r="E7" s="9" t="s">
        <v>15</v>
      </c>
      <c r="F7" s="2" t="s">
        <v>13</v>
      </c>
    </row>
    <row r="8" spans="1:11" ht="116.25" customHeight="1" x14ac:dyDescent="0.25">
      <c r="A8" s="2" t="s">
        <v>21</v>
      </c>
      <c r="B8" s="10">
        <v>46073</v>
      </c>
      <c r="C8" s="2" t="s">
        <v>55</v>
      </c>
      <c r="D8" s="2" t="s">
        <v>56</v>
      </c>
      <c r="E8" s="6" t="s">
        <v>57</v>
      </c>
      <c r="F8" s="2" t="s">
        <v>38</v>
      </c>
    </row>
    <row r="9" spans="1:11" ht="116.25" customHeight="1" x14ac:dyDescent="0.25">
      <c r="A9" s="2" t="s">
        <v>20</v>
      </c>
      <c r="B9" s="10">
        <v>46074</v>
      </c>
      <c r="C9" s="2" t="s">
        <v>29</v>
      </c>
      <c r="D9" s="2" t="s">
        <v>30</v>
      </c>
      <c r="E9" s="6" t="s">
        <v>31</v>
      </c>
      <c r="F9" s="2" t="s">
        <v>13</v>
      </c>
    </row>
    <row r="10" spans="1:11" ht="116.25" customHeight="1" x14ac:dyDescent="0.25">
      <c r="A10" s="2" t="s">
        <v>24</v>
      </c>
      <c r="B10" s="10">
        <v>46074</v>
      </c>
      <c r="C10" s="2" t="s">
        <v>54</v>
      </c>
      <c r="D10" s="2" t="s">
        <v>22</v>
      </c>
      <c r="E10" s="6" t="s">
        <v>23</v>
      </c>
      <c r="F10" s="2" t="s">
        <v>13</v>
      </c>
    </row>
    <row r="11" spans="1:11" ht="116.25" customHeight="1" x14ac:dyDescent="0.25">
      <c r="A11" s="2" t="s">
        <v>28</v>
      </c>
      <c r="B11" s="10">
        <v>46074</v>
      </c>
      <c r="C11" s="2" t="s">
        <v>25</v>
      </c>
      <c r="D11" s="2" t="s">
        <v>32</v>
      </c>
      <c r="E11" s="6" t="s">
        <v>26</v>
      </c>
      <c r="F11" s="2" t="s">
        <v>13</v>
      </c>
    </row>
    <row r="12" spans="1:11" ht="116.25" customHeight="1" x14ac:dyDescent="0.25">
      <c r="A12" s="2" t="s">
        <v>33</v>
      </c>
      <c r="B12" s="10">
        <v>46075</v>
      </c>
      <c r="C12" s="2" t="s">
        <v>16</v>
      </c>
    </row>
    <row r="13" spans="1:11" ht="116.25" customHeight="1" x14ac:dyDescent="0.25">
      <c r="A13" s="2" t="s">
        <v>46</v>
      </c>
      <c r="B13" s="10">
        <v>46075</v>
      </c>
      <c r="C13" s="2" t="s">
        <v>39</v>
      </c>
      <c r="D13" s="2" t="s">
        <v>40</v>
      </c>
      <c r="E13" s="6" t="s">
        <v>41</v>
      </c>
      <c r="F13" s="2" t="s">
        <v>13</v>
      </c>
    </row>
    <row r="14" spans="1:11" ht="116.25" customHeight="1" x14ac:dyDescent="0.25">
      <c r="A14" s="2" t="s">
        <v>27</v>
      </c>
      <c r="B14" s="10">
        <v>46075</v>
      </c>
      <c r="C14" s="2" t="s">
        <v>42</v>
      </c>
      <c r="D14" s="2" t="s">
        <v>50</v>
      </c>
      <c r="E14" s="6" t="s">
        <v>51</v>
      </c>
      <c r="F14" s="2" t="s">
        <v>13</v>
      </c>
    </row>
    <row r="15" spans="1:11" ht="116.25" customHeight="1" x14ac:dyDescent="0.25">
      <c r="A15" s="2" t="s">
        <v>45</v>
      </c>
      <c r="B15" s="10">
        <v>46075</v>
      </c>
      <c r="C15" s="2" t="s">
        <v>43</v>
      </c>
      <c r="D15" s="2" t="s">
        <v>52</v>
      </c>
      <c r="E15" s="6" t="s">
        <v>49</v>
      </c>
      <c r="F15" s="2" t="s">
        <v>13</v>
      </c>
    </row>
    <row r="16" spans="1:11" ht="116.25" customHeight="1" x14ac:dyDescent="0.25">
      <c r="A16" s="2" t="s">
        <v>53</v>
      </c>
      <c r="B16" s="10">
        <v>46076</v>
      </c>
      <c r="C16" s="2" t="s">
        <v>44</v>
      </c>
      <c r="D16" s="2" t="s">
        <v>47</v>
      </c>
      <c r="E16" s="6" t="s">
        <v>48</v>
      </c>
      <c r="F16" s="2" t="s">
        <v>13</v>
      </c>
    </row>
    <row r="17" spans="1:6" s="1" customFormat="1" ht="116.25" customHeight="1" thickBot="1" x14ac:dyDescent="0.3">
      <c r="A17" s="2" t="s">
        <v>34</v>
      </c>
      <c r="B17" s="10">
        <v>46086</v>
      </c>
      <c r="C17" s="2" t="s">
        <v>35</v>
      </c>
      <c r="D17" s="2" t="s">
        <v>36</v>
      </c>
      <c r="E17" s="6" t="s">
        <v>37</v>
      </c>
      <c r="F17" s="2" t="s">
        <v>38</v>
      </c>
    </row>
    <row r="18" spans="1:6" ht="116.25" customHeight="1" x14ac:dyDescent="0.25">
      <c r="A18" s="3" t="s">
        <v>63</v>
      </c>
      <c r="B18" s="5">
        <v>46090</v>
      </c>
      <c r="C18" s="8" t="s">
        <v>64</v>
      </c>
      <c r="D18" s="8" t="s">
        <v>65</v>
      </c>
      <c r="E18" s="7" t="s">
        <v>66</v>
      </c>
      <c r="F18" s="3" t="s">
        <v>13</v>
      </c>
    </row>
  </sheetData>
  <sortState ref="A5:F17">
    <sortCondition ref="B5"/>
  </sortState>
  <conditionalFormatting sqref="F1:F17 F19:F1048576">
    <cfRule type="containsText" dxfId="5" priority="3" operator="containsText" text="Error">
      <formula>NOT(ISERROR(SEARCH("Error",F1)))</formula>
    </cfRule>
    <cfRule type="containsText" dxfId="4" priority="4" operator="containsText" text="Error">
      <formula>NOT(ISERROR(SEARCH("Error",F1)))</formula>
    </cfRule>
  </conditionalFormatting>
  <conditionalFormatting sqref="F18">
    <cfRule type="containsText" dxfId="3" priority="1" operator="containsText" text="Error">
      <formula>NOT(ISERROR(SEARCH("Error",F18)))</formula>
    </cfRule>
    <cfRule type="containsText" dxfId="2" priority="2" operator="containsText" text="Error">
      <formula>NOT(ISERROR(SEARCH("Error",F18)))</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Munka1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dc:creator>
  <cp:lastModifiedBy>rad</cp:lastModifiedBy>
  <dcterms:created xsi:type="dcterms:W3CDTF">2026-03-03T15:15:56Z</dcterms:created>
  <dcterms:modified xsi:type="dcterms:W3CDTF">2026-03-09T14:42:27Z</dcterms:modified>
</cp:coreProperties>
</file>