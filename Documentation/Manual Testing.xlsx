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06"/>
  <workbookPr/>
  <mc:AlternateContent xmlns:mc="http://schemas.openxmlformats.org/markup-compatibility/2006">
    <mc:Choice Requires="x15">
      <x15ac:absPath xmlns:x15ac="http://schemas.microsoft.com/office/spreadsheetml/2010/11/ac" url="H:\2026-27\CsapatVizsga\"/>
    </mc:Choice>
  </mc:AlternateContent>
  <xr:revisionPtr revIDLastSave="0" documentId="8_{94A485AA-F5E7-4256-AF6F-04B2581A578E}" xr6:coauthVersionLast="47" xr6:coauthVersionMax="47" xr10:uidLastSave="{00000000-0000-0000-0000-000000000000}"/>
  <bookViews>
    <workbookView xWindow="0" yWindow="0" windowWidth="28800" windowHeight="12300" activeTab="1" xr2:uid="{00000000-000D-0000-FFFF-FFFF00000000}"/>
  </bookViews>
  <sheets>
    <sheet name="Tests" sheetId="1" r:id="rId1"/>
    <sheet name="Other"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2" l="1"/>
  <c r="E1" i="2"/>
  <c r="E2" i="2"/>
  <c r="E3" i="2"/>
  <c r="B10" i="2" a="1"/>
  <c r="B10" i="2"/>
  <c r="B9" i="2" a="1"/>
  <c r="B9" i="2"/>
  <c r="B8" i="2" a="1"/>
  <c r="B8" i="2"/>
  <c r="B7" i="2" a="1"/>
  <c r="B7" i="2"/>
  <c r="B6" i="2" a="1"/>
  <c r="B6" i="2"/>
  <c r="B5" i="2" a="1"/>
  <c r="B5" i="2"/>
  <c r="B1" i="2" a="1"/>
  <c r="B1" i="2"/>
  <c r="B2" i="2" a="1"/>
  <c r="B2" i="2"/>
  <c r="B3" i="2" a="1"/>
  <c r="B3" i="2"/>
  <c r="B4" i="2" a="1"/>
  <c r="B4"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<sst xmlns="http://schemas.openxmlformats.org/spreadsheetml/2006/main" count="320" uniqueCount="220">
  <si>
    <t>Test ID</t>
  </si>
  <si>
    <t>Date</t>
  </si>
  <si>
    <t>Name</t>
  </si>
  <si>
    <t>Expected result</t>
  </si>
  <si>
    <t>Actual result</t>
  </si>
  <si>
    <t>Status</t>
  </si>
  <si>
    <t>ACCOUNT-01</t>
  </si>
  <si>
    <t>2026.04.20</t>
  </si>
  <si>
    <t>Account details</t>
  </si>
  <si>
    <t>After a succesfull login, you can check the details of your account(username, email address), modify your theme, or check out your orders.</t>
  </si>
  <si>
    <t>Done</t>
  </si>
  <si>
    <t>ACCOUNT-02</t>
  </si>
  <si>
    <t>Editing user info</t>
  </si>
  <si>
    <t>If you dont have access to your previous email address or juts want to have a different username, you can change them in your account tab.</t>
  </si>
  <si>
    <t>After modifying the username/email address and the new one dosn't break the rules(like email address without '@' icon), you are logged out of your account with the changes saved. You can check them if you log back in.</t>
  </si>
  <si>
    <t>ADMIN-01</t>
  </si>
  <si>
    <t>Admin role</t>
  </si>
  <si>
    <t>As our website is a webshop so the only admins are ourselves. Admin role can only be granted using the java files but there are restrictions to it.</t>
  </si>
  <si>
    <t>Admins have an admin panel the only they can use.</t>
  </si>
  <si>
    <t>ADMIN-02</t>
  </si>
  <si>
    <t>Admin Panel</t>
  </si>
  <si>
    <t>After logging in as an admin, the site loads in as for anyone but with an admin panel in the header.</t>
  </si>
  <si>
    <t>Clicking on the "Admin Panel" text brings you the Admin Page when not already on it. When used on Admin Page it brings you back to the admin dashboard.</t>
  </si>
  <si>
    <t>ADMIN-03</t>
  </si>
  <si>
    <t>Admin privileges</t>
  </si>
  <si>
    <t>As an admin, you gain access to the Admin Panel, which contains Dashboard, Product Modify and Orders Pages.</t>
  </si>
  <si>
    <t>Using the privileges of an admin you can check out and modify the users and products.</t>
  </si>
  <si>
    <t>ADMIN-04</t>
  </si>
  <si>
    <t>Dashboard</t>
  </si>
  <si>
    <t>Admin Dashboard Panel is a Page where you can check the existing users, products, and orders. You can check out all the data or just take a look at the summary charts at the top of the page.</t>
  </si>
  <si>
    <t>Admin Dashboard Panel is a Page used for checking out data about users, products and orders.</t>
  </si>
  <si>
    <t>ADMIN-05</t>
  </si>
  <si>
    <t xml:space="preserve"> Product Modify</t>
  </si>
  <si>
    <t xml:space="preserve">Using this page, the admins can manage the products(modifying them or creating new ones) without the use of backend programming.  Clicking on a product from the list fills the fields so you can modify the ones you want, or just fill them in and create a new one. </t>
  </si>
  <si>
    <t>ADMIN-06</t>
  </si>
  <si>
    <t xml:space="preserve"> Product Modify-Image</t>
  </si>
  <si>
    <t>Products have their own images, you can change them to an other img using this panel.</t>
  </si>
  <si>
    <t>Every data change is working except the change os img.</t>
  </si>
  <si>
    <t>Error</t>
  </si>
  <si>
    <t>ADMIN-07</t>
  </si>
  <si>
    <t>Orders</t>
  </si>
  <si>
    <t>Admin Panel has an Orders Page where the orders data, such as how many times a user comleted an order or the revenue of the site, can be check to see if the site is doing well enough.</t>
  </si>
  <si>
    <t>CART-01</t>
  </si>
  <si>
    <t>Products to cart</t>
  </si>
  <si>
    <t>Click on "add to cart" button on each product's own page adds that item to cart</t>
  </si>
  <si>
    <t xml:space="preserve">By clicking on the button, that item is added to the cart. Multiple clicks lead to the same item being added multiple times. </t>
  </si>
  <si>
    <t>CART-02</t>
  </si>
  <si>
    <t>Modifying items</t>
  </si>
  <si>
    <t>After adding items, you can change the amount using button on thee cart page.</t>
  </si>
  <si>
    <t>You can change either add or delete to/from the quantity of each item</t>
  </si>
  <si>
    <t>CART-03</t>
  </si>
  <si>
    <t>User cart</t>
  </si>
  <si>
    <t>Each users own cart is stored in their account.</t>
  </si>
  <si>
    <t>After adding items to cart, it stays the their even after logging out and then in again.</t>
  </si>
  <si>
    <t>CART-04</t>
  </si>
  <si>
    <t>Empty Cart</t>
  </si>
  <si>
    <t>If there is no item in the cart, you can use the button there to go back to the Home page and add roducts to your cart.</t>
  </si>
  <si>
    <t>In case your cart is empty, you can go back to Home page with the button there.</t>
  </si>
  <si>
    <t>H-01</t>
  </si>
  <si>
    <t>2026.02.21</t>
  </si>
  <si>
    <t>Logo url-2</t>
  </si>
  <si>
    <t xml:space="preserve">When you click on the logo it brings you to the home page, only works when not on home page already </t>
  </si>
  <si>
    <t>Clicking on the logo brings you the home page when not already on it. When used on home page it does nothing.</t>
  </si>
  <si>
    <t>H-02</t>
  </si>
  <si>
    <t>2026.02.23</t>
  </si>
  <si>
    <t>Products url</t>
  </si>
  <si>
    <t xml:space="preserve">When you click on the "Products" text in the header it brings you to the Products page, only works when not on Products page already </t>
  </si>
  <si>
    <t>Clicking on the "Products" text brings you the Products page when not already on it. When used on Products page it does nothing.</t>
  </si>
  <si>
    <t>H-03</t>
  </si>
  <si>
    <t>2026.02.22</t>
  </si>
  <si>
    <t>Login Url</t>
  </si>
  <si>
    <t xml:space="preserve">When you click on the Login text in the header it brings you to the Login page, only works when not on Login page already </t>
  </si>
  <si>
    <t>Clicking on the "Login" text brings you the Login page when not already on it. When used on Login page it does nothing.</t>
  </si>
  <si>
    <t>H-04</t>
  </si>
  <si>
    <t>Cart url</t>
  </si>
  <si>
    <t xml:space="preserve">When you click on the Cart icon in the header it brings you to the Cart page, only works when not on Cart page already </t>
  </si>
  <si>
    <t>Clicking on the Cart icon brings you the Cart page when not already on it. When used on Cart page it does nothing.</t>
  </si>
  <si>
    <t>H-05</t>
  </si>
  <si>
    <t>About Url</t>
  </si>
  <si>
    <t xml:space="preserve">When you click on the "About" text in the header it brings you to the About page, only works when not on About page already </t>
  </si>
  <si>
    <t>Clicking on the "About" text brings you the About page when not already on it. When used on About page it does nothing.</t>
  </si>
  <si>
    <t>HOME-01</t>
  </si>
  <si>
    <t>2026.02.20</t>
  </si>
  <si>
    <t>Products On Home Page</t>
  </si>
  <si>
    <t>All products appear horizontally on the home page, with img, name and price, loaded from the database. To see all of them you need to scroll, no matter where you scroll a product is always in the middle of the page</t>
  </si>
  <si>
    <t>All products appear, each type of product is shown in that type's row, the scroll works</t>
  </si>
  <si>
    <t>HOME-02</t>
  </si>
  <si>
    <t>Moving Text</t>
  </si>
  <si>
    <t>A text containing the reasons why Flow's products are good for your health are moving through the screen</t>
  </si>
  <si>
    <t>The words are moving without any problem between the product rows where they supposed to be</t>
  </si>
  <si>
    <t>HOME-03</t>
  </si>
  <si>
    <t>Welcoming Video/img on home page</t>
  </si>
  <si>
    <t>On the top of the Home page, a short video appears and once it finishes then it swaps to a picture and repeat this infinitelly, or you can swap yourself</t>
  </si>
  <si>
    <t>On the top of the Home page, a short video appears and once it finishes then it swaps to a picture and repeat this infinitelly</t>
  </si>
  <si>
    <t>HOME-04</t>
  </si>
  <si>
    <t>2026.03.09</t>
  </si>
  <si>
    <t>Products Swiper</t>
  </si>
  <si>
    <t>Products scroll onHome Page is replaced with swiper,products can be swiped without a scroll button</t>
  </si>
  <si>
    <t>No scroll button, scrolling progress still shown, products can be swiped</t>
  </si>
  <si>
    <t>HOME-05</t>
  </si>
  <si>
    <t>2026.03.22</t>
  </si>
  <si>
    <t>Product Images</t>
  </si>
  <si>
    <t>Product images appear next to the other product informations</t>
  </si>
  <si>
    <t>Products informations appear, but images dont</t>
  </si>
  <si>
    <t>HOME-06</t>
  </si>
  <si>
    <t>2026.03.25</t>
  </si>
  <si>
    <t>All informations appear as they should</t>
  </si>
  <si>
    <t>HOME-07</t>
  </si>
  <si>
    <t>2026.03.30</t>
  </si>
  <si>
    <t>Product images are loaded from database</t>
  </si>
  <si>
    <t>Product image's appearance fixed</t>
  </si>
  <si>
    <t>Bug fixed</t>
  </si>
  <si>
    <t>LOGIN-01</t>
  </si>
  <si>
    <t>2026.03.08</t>
  </si>
  <si>
    <t>Username</t>
  </si>
  <si>
    <t>username field cannot be empty</t>
  </si>
  <si>
    <t>When empty, a message pops up</t>
  </si>
  <si>
    <t>LOGIN-02</t>
  </si>
  <si>
    <t>Password</t>
  </si>
  <si>
    <t>password field cannot be empty</t>
  </si>
  <si>
    <t>LOGIN-03</t>
  </si>
  <si>
    <t>Login Button</t>
  </si>
  <si>
    <t>Clicking on Login button logs you in your acount, but if the username or password is incorrect or the account ist registered then error message pops up denying you entry</t>
  </si>
  <si>
    <t>In case a field is empty or the account isnt already registered, you cant log in and you get an error notification</t>
  </si>
  <si>
    <t>LOGIN-04</t>
  </si>
  <si>
    <t>Visibility Button</t>
  </si>
  <si>
    <t>Clicking on the eye icon next to it, allows you to switch between visible and password mode(dots)</t>
  </si>
  <si>
    <t>ORDER-01</t>
  </si>
  <si>
    <t>Checkout</t>
  </si>
  <si>
    <t>After adding products to the cart, you can proceed to the Checkout page, but only if you are already logged in. In case you are not logged in, your cart is not saved and have to start over with your account logged in.</t>
  </si>
  <si>
    <t>Cant proceed to checkout without logging in, otherwise you are brought to the Checkout page to complete your order.</t>
  </si>
  <si>
    <t>ORDER-02</t>
  </si>
  <si>
    <t>Checkout fields</t>
  </si>
  <si>
    <t>All 4 fields are required for your order to be complete, in case some of them are empty or containing error, a message pops up with that particular error.</t>
  </si>
  <si>
    <t>Checkout can't proceed until all field are filled out correctly.</t>
  </si>
  <si>
    <t>ORDER-03</t>
  </si>
  <si>
    <t>Email</t>
  </si>
  <si>
    <t>Email addresses must contain "@" icon, text before and after the icon are a must.</t>
  </si>
  <si>
    <t>If "@" is not included/text before or after "@" is missing then error message pops up, freezing the checkout while incorrect.</t>
  </si>
  <si>
    <t>ORDER-04</t>
  </si>
  <si>
    <t>After finalising your order, you are sent back to Home Page. You can take a look at your oders in your account, tracking their progress.</t>
  </si>
  <si>
    <t>After checkout is done, you are sent back to Home Page. You can take a look at your oders in your account, checking their status and other details.</t>
  </si>
  <si>
    <t>PROD-01</t>
  </si>
  <si>
    <t>Products Page</t>
  </si>
  <si>
    <t>Products have a page, all products show up, with img, name and price, with 3 products in a row</t>
  </si>
  <si>
    <t>Products page loads, 3 products in a row, all data is shown</t>
  </si>
  <si>
    <t>PROD-02</t>
  </si>
  <si>
    <t>Product Page</t>
  </si>
  <si>
    <t>When you click on a product, that product's own page loads, containing all of its data from the database</t>
  </si>
  <si>
    <t>Page of the product loads, Img, name, description, price and "add to cart" button are shown</t>
  </si>
  <si>
    <t>PROD-03</t>
  </si>
  <si>
    <t>2026.03.05</t>
  </si>
  <si>
    <t>Products Page After Update</t>
  </si>
  <si>
    <t>New products are added, works just like previously</t>
  </si>
  <si>
    <t>New products are there but they appear without images and sometimes without price</t>
  </si>
  <si>
    <t>PROD-04</t>
  </si>
  <si>
    <t>2026.04.15</t>
  </si>
  <si>
    <t>Product's description are shown on its own page</t>
  </si>
  <si>
    <t>Product's description are shown on its own page, description text updated, previous bug fixed</t>
  </si>
  <si>
    <t>SIGNUP-01</t>
  </si>
  <si>
    <t>2026.02.24</t>
  </si>
  <si>
    <t>Register Page</t>
  </si>
  <si>
    <t>Clickin on the text below the Login button in the Login Page, brings you to the Register Page</t>
  </si>
  <si>
    <t>SIGNUP-02</t>
  </si>
  <si>
    <t>Register</t>
  </si>
  <si>
    <t>All 4 fields are required for the registration, in case some of them are empty or containing error, a message pops up with that particular error</t>
  </si>
  <si>
    <t>Cant register without all the fields filled out correctly</t>
  </si>
  <si>
    <t>SIGNUP-03</t>
  </si>
  <si>
    <t>2026.03.20</t>
  </si>
  <si>
    <t>Username cannot be the same as someone elses</t>
  </si>
  <si>
    <t>If that username is already used, then you get a network error</t>
  </si>
  <si>
    <t>SIGNUP-04</t>
  </si>
  <si>
    <t>Email addresses must contain "@" icon, text before and after the icon are a must</t>
  </si>
  <si>
    <t>If "@" is not included/text bofore or after "@" is missing then error message pops up, freezing the registration while incorrect</t>
  </si>
  <si>
    <t>SIGNUP-05</t>
  </si>
  <si>
    <t>Wrong password</t>
  </si>
  <si>
    <t>When signing up, the 2 passwords have to be the same</t>
  </si>
  <si>
    <t xml:space="preserve">If one of the passwords are wrong, </t>
  </si>
  <si>
    <t>SIGNUP-06</t>
  </si>
  <si>
    <t>2026.03.23</t>
  </si>
  <si>
    <t>Register Button</t>
  </si>
  <si>
    <t>Clicking on Register button creates your account and brings you back to Login Page, but only if all fields are filled out correctly</t>
  </si>
  <si>
    <t>Button does nothing when spaces are empty or filled out in a wrong way, creates your account when filled out correctly then dropps you back to Login Page</t>
  </si>
  <si>
    <t>Login Link</t>
  </si>
  <si>
    <t>Clickin on the text below the Register button in the Register Page, brings you back to the Login Page</t>
  </si>
  <si>
    <t>SIGNUP-07</t>
  </si>
  <si>
    <t>2026.04.01</t>
  </si>
  <si>
    <t>Username bug fix</t>
  </si>
  <si>
    <t>Username cannot be the same as someone elses, error message pops up</t>
  </si>
  <si>
    <t>If that username is already used, then you get an error message instead of the previous network error</t>
  </si>
  <si>
    <t>THEME-01</t>
  </si>
  <si>
    <t>Theme button</t>
  </si>
  <si>
    <t>After a successfull login, you can see a moon/sun icon in the account details. Clicking on the icon toogles the dark/light mode</t>
  </si>
  <si>
    <t>THEME-02</t>
  </si>
  <si>
    <t>Dark Mode</t>
  </si>
  <si>
    <t>After clicking on the moon icon, the theme changes to dark mode, the colors become dark blue and the moon icon switches to a sun icon</t>
  </si>
  <si>
    <t>THEME-03</t>
  </si>
  <si>
    <t>Light Mode</t>
  </si>
  <si>
    <t>After clicking on the sun icon, the theme changes to light mode, the colors become the default light blue and the sun icon switches back to a moon icon</t>
  </si>
  <si>
    <t>THEME-04</t>
  </si>
  <si>
    <t>Theme Storing</t>
  </si>
  <si>
    <t>After you log in and choose a theme, that them gets stored within your account so every time you log back that theme is in use</t>
  </si>
  <si>
    <t>Switching between accounts, the theme will change to the one saved in the account in use, allowing different user to use the same device with their preferred style as default</t>
  </si>
  <si>
    <t>THEME-05</t>
  </si>
  <si>
    <t>Default Theme</t>
  </si>
  <si>
    <t>The default theme is ligth, the style in use is the style used by the last user who logged in</t>
  </si>
  <si>
    <t>ACCOUNT-</t>
  </si>
  <si>
    <t>Done count:</t>
  </si>
  <si>
    <t>ADMIN-</t>
  </si>
  <si>
    <t>Error count:</t>
  </si>
  <si>
    <t>CART-</t>
  </si>
  <si>
    <t>Bugs fixed:</t>
  </si>
  <si>
    <t>H-</t>
  </si>
  <si>
    <t>Errors remaining:</t>
  </si>
  <si>
    <t>HOME-</t>
  </si>
  <si>
    <t>LOGIN-</t>
  </si>
  <si>
    <t>ORDER-</t>
  </si>
  <si>
    <t>PROD-</t>
  </si>
  <si>
    <t>SIGNUP-</t>
  </si>
  <si>
    <t>THEME-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</si>
</sst>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1"/>
      <color theme="1"/>
      <name val="Calibri"/>
      <family val="2"/>
      <charset val="238"/>
      <scheme val="minor"/>
    </font>
    <font>
      <sz val="11"/>
      <color theme="1"/>
      <name val="Calibri"/>
      <scheme val="minor"/>
    </font>
    <font>
      <sz val="11"/>
      <color rgb="FF242424"/>
      <name val="Calibri"/>
      <scheme val="minor"/>
    </font>
  </fonts>
  <fills count="2">
    <fill>
      <patternFill patternType="none"/>
    </fill>
    <fill>
      <patternFill patternType="gray125"/>
    </fill>
  </fills>
  <borders count="10">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1">
    <xf numFmtId="0" fontId="0" fillId="0" borderId="0"/>
  </cellStyleXfs>
  <cellXfs count="22">
    <xf numFmtId="0" fontId="0" fillId="0" borderId="0" xfId="0"/>
    <xf numFmtId="0" fontId="1" fillId="0" borderId="8" xfId="0" applyFont="1" applyBorder="1" applyAlignment="1">
      <alignment horizontal="right" vertical="center"/>
    </xf>
    <xf numFmtId="0" fontId="1" fillId="0" borderId="8" xfId="0" applyFont="1" applyBorder="1" applyAlignment="1">
      <alignment horizontal="left" vertical="center"/>
    </xf>
    <xf numFmtId="0" fontId="1" fillId="0" borderId="0" xfId="0" applyFont="1" applyAlignment="1">
      <alignment vertical="center"/>
    </xf>
    <xf numFmtId="0" fontId="1" fillId="0" borderId="9" xfId="0" applyFont="1" applyBorder="1" applyAlignment="1">
      <alignment horizontal="right" vertical="center"/>
    </xf>
    <xf numFmtId="0" fontId="1" fillId="0" borderId="9" xfId="0" applyFont="1" applyBorder="1" applyAlignment="1">
      <alignment horizontal="left" vertical="center"/>
    </xf>
    <xf numFmtId="0" fontId="1" fillId="0" borderId="0" xfId="0" applyFont="1" applyAlignment="1">
      <alignment horizontal="right" vertical="center"/>
    </xf>
    <xf numFmtId="0" fontId="1" fillId="0" borderId="0" xfId="0" applyFont="1" applyAlignment="1">
      <alignment horizontal="left" vertical="center"/>
    </xf>
    <xf numFmtId="0" fontId="1" fillId="0" borderId="2" xfId="0" applyFont="1" applyBorder="1" applyAlignment="1">
      <alignment horizontal="center" vertical="center" wrapText="1"/>
    </xf>
    <xf numFmtId="0" fontId="1" fillId="0" borderId="0" xfId="0" applyFont="1" applyBorder="1" applyAlignment="1">
      <alignment horizontal="center" vertical="center" wrapText="1"/>
    </xf>
    <xf numFmtId="0" fontId="1" fillId="0" borderId="3" xfId="0" applyFont="1" applyBorder="1" applyAlignment="1">
      <alignment horizontal="center" vertical="center" wrapText="1"/>
    </xf>
    <xf numFmtId="0" fontId="1" fillId="0" borderId="5" xfId="0" applyFont="1" applyBorder="1" applyAlignment="1">
      <alignment horizontal="center" vertical="center" wrapText="1"/>
    </xf>
    <xf numFmtId="0" fontId="1" fillId="0" borderId="6" xfId="0" applyFont="1" applyBorder="1" applyAlignment="1">
      <alignment horizontal="center" vertical="center" wrapText="1"/>
    </xf>
    <xf numFmtId="0" fontId="1" fillId="0" borderId="1" xfId="0" applyFont="1" applyBorder="1" applyAlignment="1">
      <alignment horizontal="center" vertical="center" wrapText="1"/>
    </xf>
    <xf numFmtId="0" fontId="1" fillId="0" borderId="4" xfId="0" applyFont="1" applyBorder="1" applyAlignment="1">
      <alignment horizontal="center" vertical="center" wrapText="1"/>
    </xf>
    <xf numFmtId="0" fontId="1" fillId="0" borderId="7" xfId="0" applyFont="1" applyBorder="1" applyAlignment="1">
      <alignment horizontal="center" vertical="center" wrapText="1"/>
    </xf>
    <xf numFmtId="0" fontId="1" fillId="0" borderId="0" xfId="0" applyFont="1" applyBorder="1" applyAlignment="1">
      <alignment horizontal="right" vertical="center" wrapText="1"/>
    </xf>
    <xf numFmtId="0" fontId="1" fillId="0" borderId="0" xfId="0" applyFont="1" applyBorder="1" applyAlignment="1">
      <alignment horizontal="left" vertical="center" wrapText="1"/>
    </xf>
    <xf numFmtId="14" fontId="1" fillId="0" borderId="1" xfId="0" applyNumberFormat="1" applyFont="1" applyBorder="1" applyAlignment="1">
      <alignment horizontal="center" vertical="center" wrapText="1"/>
    </xf>
    <xf numFmtId="0" fontId="1" fillId="0" borderId="8" xfId="0" applyFont="1" applyBorder="1" applyAlignment="1">
      <alignment horizontal="right" vertical="center" wrapText="1"/>
    </xf>
    <xf numFmtId="0" fontId="1" fillId="0" borderId="8" xfId="0" applyFont="1" applyBorder="1" applyAlignment="1">
      <alignment horizontal="left" vertical="center" wrapText="1"/>
    </xf>
    <xf numFmtId="0" fontId="2" fillId="0" borderId="9" xfId="0" applyFont="1" applyBorder="1" applyAlignment="1">
      <alignment horizontal="right" vertical="center"/>
    </xf>
  </cellXfs>
  <cellStyles count="1">
    <cellStyle name="Normal" xfId="0" builtinId="0"/>
  </cellStyles>
  <dxfs count="3">
    <dxf>
      <font>
        <color theme="0"/>
      </font>
      <fill>
        <patternFill patternType="solid">
          <bgColor rgb="FFFF0000"/>
        </patternFill>
      </fill>
    </dxf>
    <dxf>
      <font>
        <color theme="0"/>
      </font>
      <fill>
        <patternFill patternType="solid">
          <bgColor rgb="FFFF0000"/>
        </patternFill>
      </fill>
    </dxf>
    <dxf>
      <font>
        <color rgb="FF9C0006"/>
      </font>
      <fill>
        <patternFill patternType="solid">
          <bgColor rgb="FF00B0F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téma">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51"/>
  <sheetViews>
    <sheetView workbookViewId="0">
      <selection activeCell="B46" sqref="B46"/>
    </sheetView>
  </sheetViews>
  <sheetFormatPr defaultColWidth="23.7109375" defaultRowHeight="116.25" customHeight="1"/>
  <cols>
    <col min="1" max="1" width="14.42578125" style="13" customWidth="1"/>
    <col min="2" max="2" width="17.140625" style="13" customWidth="1"/>
    <col min="3" max="3" width="23.7109375" style="13"/>
    <col min="4" max="4" width="44" style="13" customWidth="1"/>
    <col min="5" max="5" width="37.28515625" style="14" customWidth="1"/>
    <col min="6" max="6" width="23.7109375" style="13"/>
    <col min="7" max="7" width="23.7109375" style="9"/>
    <col min="8" max="8" width="12.7109375" style="16" customWidth="1"/>
    <col min="9" max="9" width="8.7109375" style="17" customWidth="1"/>
    <col min="10" max="10" width="12.7109375" style="16" customWidth="1"/>
    <col min="11" max="11" width="8.7109375" style="17" customWidth="1"/>
    <col min="12" max="16384" width="23.7109375" style="9"/>
  </cols>
  <sheetData>
    <row r="1" spans="1:11" ht="60.75" customHeight="1" thickBot="1">
      <c r="A1" s="8" t="s">
        <v>0</v>
      </c>
      <c r="B1" s="8" t="s">
        <v>1</v>
      </c>
      <c r="C1" s="8" t="s">
        <v>2</v>
      </c>
      <c r="D1" s="8" t="s">
        <v>3</v>
      </c>
      <c r="E1" s="8" t="s">
        <v>4</v>
      </c>
      <c r="F1" s="8" t="s">
        <v>5</v>
      </c>
      <c r="H1" s="9"/>
      <c r="I1" s="9"/>
      <c r="J1" s="9"/>
      <c r="K1" s="9"/>
    </row>
    <row r="2" spans="1:11" ht="116.25" customHeight="1">
      <c r="A2" s="10" t="s">
        <v>6</v>
      </c>
      <c r="B2" s="10" t="s">
        <v>7</v>
      </c>
      <c r="C2" s="11" t="s">
        <v>8</v>
      </c>
      <c r="D2" s="11" t="s">
        <v>9</v>
      </c>
      <c r="E2" s="12" t="s">
        <v>9</v>
      </c>
      <c r="F2" s="10" t="s">
        <v>10</v>
      </c>
      <c r="H2" s="9"/>
      <c r="I2" s="9"/>
      <c r="J2" s="9"/>
      <c r="K2" s="9"/>
    </row>
    <row r="3" spans="1:11" ht="116.25" customHeight="1">
      <c r="A3" s="13" t="s">
        <v>11</v>
      </c>
      <c r="B3" s="10" t="s">
        <v>7</v>
      </c>
      <c r="C3" s="13" t="s">
        <v>12</v>
      </c>
      <c r="D3" s="13" t="s">
        <v>13</v>
      </c>
      <c r="E3" s="14" t="s">
        <v>14</v>
      </c>
      <c r="F3" s="13" t="s">
        <v>10</v>
      </c>
      <c r="H3" s="9"/>
      <c r="I3" s="9"/>
      <c r="J3" s="9"/>
      <c r="K3" s="9"/>
    </row>
    <row r="4" spans="1:11" ht="116.25" customHeight="1">
      <c r="A4" s="13" t="s">
        <v>15</v>
      </c>
      <c r="B4" s="10" t="s">
        <v>7</v>
      </c>
      <c r="C4" s="13" t="s">
        <v>16</v>
      </c>
      <c r="D4" s="13" t="s">
        <v>17</v>
      </c>
      <c r="E4" s="15" t="s">
        <v>18</v>
      </c>
      <c r="F4" s="13" t="s">
        <v>10</v>
      </c>
    </row>
    <row r="5" spans="1:11" ht="116.25" customHeight="1">
      <c r="A5" s="13" t="s">
        <v>19</v>
      </c>
      <c r="B5" s="10" t="s">
        <v>7</v>
      </c>
      <c r="C5" s="13" t="s">
        <v>20</v>
      </c>
      <c r="D5" s="13" t="s">
        <v>21</v>
      </c>
      <c r="E5" s="14" t="s">
        <v>22</v>
      </c>
      <c r="F5" s="13" t="s">
        <v>10</v>
      </c>
    </row>
    <row r="6" spans="1:11" ht="116.25" customHeight="1">
      <c r="A6" s="13" t="s">
        <v>23</v>
      </c>
      <c r="B6" s="10" t="s">
        <v>7</v>
      </c>
      <c r="C6" s="13" t="s">
        <v>24</v>
      </c>
      <c r="D6" s="13" t="s">
        <v>25</v>
      </c>
      <c r="E6" s="14" t="s">
        <v>26</v>
      </c>
      <c r="F6" s="13" t="s">
        <v>10</v>
      </c>
    </row>
    <row r="7" spans="1:11" ht="116.25" customHeight="1">
      <c r="A7" s="13" t="s">
        <v>27</v>
      </c>
      <c r="B7" s="10" t="s">
        <v>7</v>
      </c>
      <c r="C7" s="13" t="s">
        <v>28</v>
      </c>
      <c r="D7" s="13" t="s">
        <v>29</v>
      </c>
      <c r="E7" s="14" t="s">
        <v>30</v>
      </c>
      <c r="F7" s="13" t="s">
        <v>10</v>
      </c>
    </row>
    <row r="8" spans="1:11" ht="116.25" customHeight="1">
      <c r="A8" s="13" t="s">
        <v>31</v>
      </c>
      <c r="B8" s="10" t="s">
        <v>7</v>
      </c>
      <c r="C8" s="13" t="s">
        <v>32</v>
      </c>
      <c r="D8" s="13" t="s">
        <v>33</v>
      </c>
      <c r="E8" s="14" t="s">
        <v>33</v>
      </c>
      <c r="F8" s="13" t="s">
        <v>10</v>
      </c>
    </row>
    <row r="9" spans="1:11" ht="116.25" customHeight="1">
      <c r="A9" s="13" t="s">
        <v>34</v>
      </c>
      <c r="B9" s="10" t="s">
        <v>7</v>
      </c>
      <c r="C9" s="13" t="s">
        <v>35</v>
      </c>
      <c r="D9" s="13" t="s">
        <v>36</v>
      </c>
      <c r="E9" s="14" t="s">
        <v>37</v>
      </c>
      <c r="F9" s="13" t="s">
        <v>38</v>
      </c>
    </row>
    <row r="10" spans="1:11" ht="116.25" customHeight="1">
      <c r="A10" s="13" t="s">
        <v>39</v>
      </c>
      <c r="B10" s="10" t="s">
        <v>7</v>
      </c>
      <c r="C10" s="13" t="s">
        <v>40</v>
      </c>
      <c r="D10" s="13" t="s">
        <v>41</v>
      </c>
      <c r="E10" s="14" t="s">
        <v>41</v>
      </c>
      <c r="F10" s="13" t="s">
        <v>10</v>
      </c>
    </row>
    <row r="11" spans="1:11" ht="116.25" customHeight="1">
      <c r="A11" s="13" t="s">
        <v>42</v>
      </c>
      <c r="B11" s="10" t="s">
        <v>7</v>
      </c>
      <c r="C11" s="13" t="s">
        <v>43</v>
      </c>
      <c r="D11" s="13" t="s">
        <v>44</v>
      </c>
      <c r="E11" s="14" t="s">
        <v>45</v>
      </c>
      <c r="F11" s="13" t="s">
        <v>10</v>
      </c>
    </row>
    <row r="12" spans="1:11" ht="116.25" customHeight="1" thickBot="1">
      <c r="A12" s="13" t="s">
        <v>46</v>
      </c>
      <c r="B12" s="13" t="s">
        <v>7</v>
      </c>
      <c r="C12" s="13" t="s">
        <v>47</v>
      </c>
      <c r="D12" s="13" t="s">
        <v>48</v>
      </c>
      <c r="E12" s="14" t="s">
        <v>49</v>
      </c>
      <c r="F12" s="13" t="s">
        <v>10</v>
      </c>
      <c r="H12" s="9"/>
      <c r="I12" s="9"/>
      <c r="J12" s="9"/>
      <c r="K12" s="9"/>
    </row>
    <row r="13" spans="1:11" ht="116.25" customHeight="1">
      <c r="A13" s="10" t="s">
        <v>50</v>
      </c>
      <c r="B13" s="13" t="s">
        <v>7</v>
      </c>
      <c r="C13" s="11" t="s">
        <v>51</v>
      </c>
      <c r="D13" s="11" t="s">
        <v>52</v>
      </c>
      <c r="E13" s="12" t="s">
        <v>53</v>
      </c>
      <c r="F13" s="10" t="s">
        <v>10</v>
      </c>
    </row>
    <row r="14" spans="1:11" ht="116.25" customHeight="1">
      <c r="A14" s="13" t="s">
        <v>54</v>
      </c>
      <c r="B14" s="13" t="s">
        <v>7</v>
      </c>
      <c r="C14" s="13" t="s">
        <v>55</v>
      </c>
      <c r="D14" s="13" t="s">
        <v>56</v>
      </c>
      <c r="E14" s="14" t="s">
        <v>57</v>
      </c>
      <c r="F14" s="13" t="s">
        <v>10</v>
      </c>
    </row>
    <row r="15" spans="1:11" ht="116.25" customHeight="1">
      <c r="A15" s="13" t="s">
        <v>58</v>
      </c>
      <c r="B15" s="18" t="s">
        <v>59</v>
      </c>
      <c r="C15" s="13" t="s">
        <v>60</v>
      </c>
      <c r="D15" s="13" t="s">
        <v>61</v>
      </c>
      <c r="E15" s="14" t="s">
        <v>62</v>
      </c>
      <c r="F15" s="13" t="s">
        <v>10</v>
      </c>
    </row>
    <row r="16" spans="1:11" ht="116.25" customHeight="1">
      <c r="A16" s="13" t="s">
        <v>63</v>
      </c>
      <c r="B16" s="18" t="s">
        <v>64</v>
      </c>
      <c r="C16" s="13" t="s">
        <v>65</v>
      </c>
      <c r="D16" s="13" t="s">
        <v>66</v>
      </c>
      <c r="E16" s="14" t="s">
        <v>67</v>
      </c>
      <c r="F16" s="13" t="s">
        <v>10</v>
      </c>
    </row>
    <row r="17" spans="1:6" ht="116.25" customHeight="1">
      <c r="A17" s="13" t="s">
        <v>68</v>
      </c>
      <c r="B17" s="18" t="s">
        <v>69</v>
      </c>
      <c r="C17" s="13" t="s">
        <v>70</v>
      </c>
      <c r="D17" s="13" t="s">
        <v>71</v>
      </c>
      <c r="E17" s="14" t="s">
        <v>72</v>
      </c>
      <c r="F17" s="13" t="s">
        <v>10</v>
      </c>
    </row>
    <row r="18" spans="1:6" ht="116.25" customHeight="1">
      <c r="A18" s="13" t="s">
        <v>73</v>
      </c>
      <c r="B18" s="18" t="s">
        <v>69</v>
      </c>
      <c r="C18" s="13" t="s">
        <v>74</v>
      </c>
      <c r="D18" s="13" t="s">
        <v>75</v>
      </c>
      <c r="E18" s="14" t="s">
        <v>76</v>
      </c>
      <c r="F18" s="13" t="s">
        <v>10</v>
      </c>
    </row>
    <row r="19" spans="1:6" ht="116.25" customHeight="1">
      <c r="A19" s="13" t="s">
        <v>77</v>
      </c>
      <c r="B19" s="18" t="s">
        <v>69</v>
      </c>
      <c r="C19" s="13" t="s">
        <v>78</v>
      </c>
      <c r="D19" s="13" t="s">
        <v>79</v>
      </c>
      <c r="E19" s="14" t="s">
        <v>80</v>
      </c>
      <c r="F19" s="13" t="s">
        <v>10</v>
      </c>
    </row>
    <row r="20" spans="1:6" ht="116.25" customHeight="1">
      <c r="A20" s="13" t="s">
        <v>81</v>
      </c>
      <c r="B20" s="18" t="s">
        <v>82</v>
      </c>
      <c r="C20" s="13" t="s">
        <v>83</v>
      </c>
      <c r="D20" s="13" t="s">
        <v>84</v>
      </c>
      <c r="E20" s="13" t="s">
        <v>85</v>
      </c>
      <c r="F20" s="13" t="s">
        <v>10</v>
      </c>
    </row>
    <row r="21" spans="1:6" ht="116.25" customHeight="1">
      <c r="A21" s="13" t="s">
        <v>86</v>
      </c>
      <c r="B21" s="18" t="s">
        <v>59</v>
      </c>
      <c r="C21" s="13" t="s">
        <v>87</v>
      </c>
      <c r="D21" s="13" t="s">
        <v>88</v>
      </c>
      <c r="E21" s="14" t="s">
        <v>89</v>
      </c>
      <c r="F21" s="13" t="s">
        <v>10</v>
      </c>
    </row>
    <row r="22" spans="1:6" ht="116.25" customHeight="1">
      <c r="A22" s="13" t="s">
        <v>90</v>
      </c>
      <c r="B22" s="18" t="s">
        <v>59</v>
      </c>
      <c r="C22" s="13" t="s">
        <v>91</v>
      </c>
      <c r="D22" s="13" t="s">
        <v>92</v>
      </c>
      <c r="E22" s="13" t="s">
        <v>93</v>
      </c>
      <c r="F22" s="13" t="s">
        <v>10</v>
      </c>
    </row>
    <row r="23" spans="1:6" ht="116.25" customHeight="1">
      <c r="A23" s="13" t="s">
        <v>94</v>
      </c>
      <c r="B23" s="13" t="s">
        <v>95</v>
      </c>
      <c r="C23" s="13" t="s">
        <v>96</v>
      </c>
      <c r="D23" s="13" t="s">
        <v>97</v>
      </c>
      <c r="E23" s="13" t="s">
        <v>98</v>
      </c>
      <c r="F23" s="13" t="s">
        <v>10</v>
      </c>
    </row>
    <row r="24" spans="1:6" ht="116.25" customHeight="1">
      <c r="A24" s="13" t="s">
        <v>99</v>
      </c>
      <c r="B24" s="13" t="s">
        <v>100</v>
      </c>
      <c r="C24" s="13" t="s">
        <v>101</v>
      </c>
      <c r="D24" s="13" t="s">
        <v>102</v>
      </c>
      <c r="E24" s="13" t="s">
        <v>103</v>
      </c>
      <c r="F24" s="13" t="s">
        <v>38</v>
      </c>
    </row>
    <row r="25" spans="1:6" ht="126" customHeight="1">
      <c r="A25" s="13" t="s">
        <v>104</v>
      </c>
      <c r="B25" s="13" t="s">
        <v>105</v>
      </c>
      <c r="C25" s="13" t="s">
        <v>101</v>
      </c>
      <c r="D25" s="13" t="s">
        <v>102</v>
      </c>
      <c r="E25" s="14" t="s">
        <v>106</v>
      </c>
      <c r="F25" s="13" t="s">
        <v>10</v>
      </c>
    </row>
    <row r="26" spans="1:6" ht="116.25" customHeight="1">
      <c r="A26" s="13" t="s">
        <v>107</v>
      </c>
      <c r="B26" s="13" t="s">
        <v>108</v>
      </c>
      <c r="C26" s="13" t="s">
        <v>101</v>
      </c>
      <c r="D26" s="13" t="s">
        <v>109</v>
      </c>
      <c r="E26" s="13" t="s">
        <v>110</v>
      </c>
      <c r="F26" s="13" t="s">
        <v>111</v>
      </c>
    </row>
    <row r="27" spans="1:6" ht="116.25" customHeight="1">
      <c r="A27" s="13" t="s">
        <v>112</v>
      </c>
      <c r="B27" s="13" t="s">
        <v>113</v>
      </c>
      <c r="C27" s="13" t="s">
        <v>114</v>
      </c>
      <c r="D27" s="13" t="s">
        <v>115</v>
      </c>
      <c r="E27" s="13" t="s">
        <v>116</v>
      </c>
      <c r="F27" s="13" t="s">
        <v>10</v>
      </c>
    </row>
    <row r="28" spans="1:6" ht="116.25" customHeight="1">
      <c r="A28" s="13" t="s">
        <v>117</v>
      </c>
      <c r="B28" s="13" t="s">
        <v>113</v>
      </c>
      <c r="C28" s="13" t="s">
        <v>118</v>
      </c>
      <c r="D28" s="13" t="s">
        <v>119</v>
      </c>
      <c r="E28" s="13" t="s">
        <v>116</v>
      </c>
      <c r="F28" s="13" t="s">
        <v>10</v>
      </c>
    </row>
    <row r="29" spans="1:6" ht="116.25" customHeight="1">
      <c r="A29" s="13" t="s">
        <v>120</v>
      </c>
      <c r="B29" s="13" t="s">
        <v>113</v>
      </c>
      <c r="C29" s="13" t="s">
        <v>121</v>
      </c>
      <c r="D29" s="13" t="s">
        <v>122</v>
      </c>
      <c r="E29" s="13" t="s">
        <v>123</v>
      </c>
      <c r="F29" s="13" t="s">
        <v>10</v>
      </c>
    </row>
    <row r="30" spans="1:6" ht="139.5" customHeight="1">
      <c r="A30" s="13" t="s">
        <v>124</v>
      </c>
      <c r="B30" s="13" t="s">
        <v>113</v>
      </c>
      <c r="C30" s="13" t="s">
        <v>125</v>
      </c>
      <c r="D30" s="13" t="s">
        <v>126</v>
      </c>
      <c r="E30" s="14" t="s">
        <v>126</v>
      </c>
      <c r="F30" s="13" t="s">
        <v>10</v>
      </c>
    </row>
    <row r="31" spans="1:6" ht="116.25" customHeight="1">
      <c r="A31" s="13" t="s">
        <v>127</v>
      </c>
      <c r="B31" s="13" t="s">
        <v>7</v>
      </c>
      <c r="C31" s="13" t="s">
        <v>128</v>
      </c>
      <c r="D31" s="13" t="s">
        <v>129</v>
      </c>
      <c r="E31" s="13" t="s">
        <v>130</v>
      </c>
      <c r="F31" s="13" t="s">
        <v>10</v>
      </c>
    </row>
    <row r="32" spans="1:6" ht="116.25" customHeight="1">
      <c r="A32" s="13" t="s">
        <v>131</v>
      </c>
      <c r="B32" s="13" t="s">
        <v>7</v>
      </c>
      <c r="C32" s="13" t="s">
        <v>132</v>
      </c>
      <c r="D32" s="13" t="s">
        <v>133</v>
      </c>
      <c r="E32" s="14" t="s">
        <v>134</v>
      </c>
      <c r="F32" s="13" t="s">
        <v>10</v>
      </c>
    </row>
    <row r="33" spans="1:11" ht="116.25" customHeight="1">
      <c r="A33" s="13" t="s">
        <v>135</v>
      </c>
      <c r="B33" s="13" t="s">
        <v>7</v>
      </c>
      <c r="C33" s="13" t="s">
        <v>136</v>
      </c>
      <c r="D33" s="13" t="s">
        <v>137</v>
      </c>
      <c r="E33" s="13" t="s">
        <v>138</v>
      </c>
      <c r="F33" s="13" t="s">
        <v>10</v>
      </c>
    </row>
    <row r="34" spans="1:11" ht="116.25" customHeight="1">
      <c r="A34" s="13" t="s">
        <v>139</v>
      </c>
      <c r="B34" s="13" t="s">
        <v>7</v>
      </c>
      <c r="C34" s="13" t="s">
        <v>40</v>
      </c>
      <c r="D34" s="13" t="s">
        <v>140</v>
      </c>
      <c r="E34" s="13" t="s">
        <v>141</v>
      </c>
      <c r="F34" s="13" t="s">
        <v>10</v>
      </c>
      <c r="H34" s="9"/>
      <c r="I34" s="9"/>
      <c r="J34" s="9"/>
      <c r="K34" s="9"/>
    </row>
    <row r="35" spans="1:11" ht="116.25" customHeight="1">
      <c r="A35" s="13" t="s">
        <v>142</v>
      </c>
      <c r="B35" s="18" t="s">
        <v>82</v>
      </c>
      <c r="C35" s="13" t="s">
        <v>143</v>
      </c>
      <c r="D35" s="13" t="s">
        <v>144</v>
      </c>
      <c r="E35" s="14" t="s">
        <v>145</v>
      </c>
      <c r="F35" s="13" t="s">
        <v>10</v>
      </c>
    </row>
    <row r="36" spans="1:11" ht="116.25" customHeight="1">
      <c r="A36" s="13" t="s">
        <v>146</v>
      </c>
      <c r="B36" s="18" t="s">
        <v>82</v>
      </c>
      <c r="C36" s="13" t="s">
        <v>147</v>
      </c>
      <c r="D36" s="13" t="s">
        <v>148</v>
      </c>
      <c r="E36" s="14" t="s">
        <v>149</v>
      </c>
      <c r="F36" s="13" t="s">
        <v>10</v>
      </c>
    </row>
    <row r="37" spans="1:11" ht="116.25" customHeight="1">
      <c r="A37" s="13" t="s">
        <v>150</v>
      </c>
      <c r="B37" s="13" t="s">
        <v>151</v>
      </c>
      <c r="C37" s="13" t="s">
        <v>152</v>
      </c>
      <c r="D37" s="13" t="s">
        <v>153</v>
      </c>
      <c r="E37" s="14" t="s">
        <v>154</v>
      </c>
      <c r="F37" s="13" t="s">
        <v>38</v>
      </c>
    </row>
    <row r="38" spans="1:11" ht="116.25" customHeight="1">
      <c r="A38" s="13" t="s">
        <v>155</v>
      </c>
      <c r="B38" s="13" t="s">
        <v>156</v>
      </c>
      <c r="C38" s="13" t="s">
        <v>152</v>
      </c>
      <c r="D38" s="13" t="s">
        <v>157</v>
      </c>
      <c r="E38" s="14" t="s">
        <v>158</v>
      </c>
      <c r="F38" s="13" t="s">
        <v>111</v>
      </c>
    </row>
    <row r="39" spans="1:11" ht="116.25" customHeight="1">
      <c r="A39" s="13" t="s">
        <v>159</v>
      </c>
      <c r="B39" s="13" t="s">
        <v>160</v>
      </c>
      <c r="C39" s="13" t="s">
        <v>161</v>
      </c>
      <c r="D39" s="13" t="s">
        <v>162</v>
      </c>
      <c r="E39" s="14" t="s">
        <v>162</v>
      </c>
      <c r="F39" s="13" t="s">
        <v>10</v>
      </c>
    </row>
    <row r="40" spans="1:11" ht="116.25" customHeight="1">
      <c r="A40" s="13" t="s">
        <v>163</v>
      </c>
      <c r="B40" s="13" t="s">
        <v>160</v>
      </c>
      <c r="C40" s="13" t="s">
        <v>164</v>
      </c>
      <c r="D40" s="13" t="s">
        <v>165</v>
      </c>
      <c r="E40" s="14" t="s">
        <v>166</v>
      </c>
      <c r="F40" s="13" t="s">
        <v>10</v>
      </c>
    </row>
    <row r="41" spans="1:11" ht="116.25" customHeight="1">
      <c r="A41" s="13" t="s">
        <v>167</v>
      </c>
      <c r="B41" s="13" t="s">
        <v>168</v>
      </c>
      <c r="C41" s="13" t="s">
        <v>114</v>
      </c>
      <c r="D41" s="13" t="s">
        <v>169</v>
      </c>
      <c r="E41" s="14" t="s">
        <v>170</v>
      </c>
      <c r="F41" s="13" t="s">
        <v>38</v>
      </c>
    </row>
    <row r="42" spans="1:11" ht="116.25" customHeight="1">
      <c r="A42" s="13" t="s">
        <v>171</v>
      </c>
      <c r="B42" s="13" t="s">
        <v>168</v>
      </c>
      <c r="C42" s="13" t="s">
        <v>136</v>
      </c>
      <c r="D42" s="13" t="s">
        <v>172</v>
      </c>
      <c r="E42" s="13" t="s">
        <v>173</v>
      </c>
      <c r="F42" s="13" t="s">
        <v>10</v>
      </c>
    </row>
    <row r="43" spans="1:11" ht="116.25" customHeight="1">
      <c r="A43" s="13" t="s">
        <v>174</v>
      </c>
      <c r="B43" s="13" t="s">
        <v>168</v>
      </c>
      <c r="C43" s="13" t="s">
        <v>175</v>
      </c>
      <c r="D43" s="13" t="s">
        <v>176</v>
      </c>
      <c r="E43" s="13" t="s">
        <v>177</v>
      </c>
      <c r="F43" s="13" t="s">
        <v>10</v>
      </c>
    </row>
    <row r="44" spans="1:11" ht="116.25" customHeight="1">
      <c r="A44" s="13" t="s">
        <v>178</v>
      </c>
      <c r="B44" s="13" t="s">
        <v>179</v>
      </c>
      <c r="C44" s="13" t="s">
        <v>180</v>
      </c>
      <c r="D44" s="13" t="s">
        <v>181</v>
      </c>
      <c r="E44" s="14" t="s">
        <v>182</v>
      </c>
      <c r="F44" s="13" t="s">
        <v>10</v>
      </c>
    </row>
    <row r="45" spans="1:11" ht="116.25" customHeight="1">
      <c r="A45" s="13" t="s">
        <v>178</v>
      </c>
      <c r="B45" s="13" t="s">
        <v>179</v>
      </c>
      <c r="C45" s="13" t="s">
        <v>183</v>
      </c>
      <c r="D45" s="13" t="s">
        <v>184</v>
      </c>
      <c r="E45" s="14" t="s">
        <v>184</v>
      </c>
      <c r="F45" s="13" t="s">
        <v>10</v>
      </c>
    </row>
    <row r="46" spans="1:11" ht="116.25" customHeight="1">
      <c r="A46" s="13" t="s">
        <v>185</v>
      </c>
      <c r="B46" s="13" t="s">
        <v>186</v>
      </c>
      <c r="C46" s="13" t="s">
        <v>187</v>
      </c>
      <c r="D46" s="13" t="s">
        <v>188</v>
      </c>
      <c r="E46" s="14" t="s">
        <v>189</v>
      </c>
      <c r="F46" s="13" t="s">
        <v>111</v>
      </c>
    </row>
    <row r="47" spans="1:11" ht="116.25" customHeight="1">
      <c r="A47" s="13" t="s">
        <v>190</v>
      </c>
      <c r="B47" s="13" t="s">
        <v>168</v>
      </c>
      <c r="C47" s="13" t="s">
        <v>191</v>
      </c>
      <c r="D47" s="13" t="s">
        <v>192</v>
      </c>
      <c r="E47" s="14" t="s">
        <v>192</v>
      </c>
      <c r="F47" s="13" t="s">
        <v>10</v>
      </c>
    </row>
    <row r="48" spans="1:11" ht="116.25" customHeight="1">
      <c r="A48" s="13" t="s">
        <v>193</v>
      </c>
      <c r="B48" s="13" t="s">
        <v>168</v>
      </c>
      <c r="C48" s="13" t="s">
        <v>194</v>
      </c>
      <c r="D48" s="13" t="s">
        <v>195</v>
      </c>
      <c r="E48" s="14" t="s">
        <v>195</v>
      </c>
      <c r="F48" s="13" t="s">
        <v>10</v>
      </c>
    </row>
    <row r="49" spans="1:6" ht="116.25" customHeight="1">
      <c r="A49" s="13" t="s">
        <v>196</v>
      </c>
      <c r="B49" s="13" t="s">
        <v>168</v>
      </c>
      <c r="C49" s="13" t="s">
        <v>197</v>
      </c>
      <c r="D49" s="13" t="s">
        <v>198</v>
      </c>
      <c r="E49" s="13" t="s">
        <v>198</v>
      </c>
      <c r="F49" s="13" t="s">
        <v>10</v>
      </c>
    </row>
    <row r="50" spans="1:6" ht="116.25" customHeight="1">
      <c r="A50" s="13" t="s">
        <v>199</v>
      </c>
      <c r="B50" s="13" t="s">
        <v>100</v>
      </c>
      <c r="C50" s="13" t="s">
        <v>200</v>
      </c>
      <c r="D50" s="13" t="s">
        <v>201</v>
      </c>
      <c r="E50" s="14" t="s">
        <v>202</v>
      </c>
      <c r="F50" s="13" t="s">
        <v>10</v>
      </c>
    </row>
    <row r="51" spans="1:6" ht="116.25" customHeight="1">
      <c r="A51" s="13" t="s">
        <v>203</v>
      </c>
      <c r="B51" s="13" t="s">
        <v>100</v>
      </c>
      <c r="C51" s="13" t="s">
        <v>204</v>
      </c>
      <c r="D51" s="13" t="s">
        <v>205</v>
      </c>
      <c r="E51" s="13" t="s">
        <v>205</v>
      </c>
      <c r="F51" s="13" t="s">
        <v>10</v>
      </c>
    </row>
  </sheetData>
  <sortState xmlns:xlrd2="http://schemas.microsoft.com/office/spreadsheetml/2017/richdata2" ref="A2:F54">
    <sortCondition ref="A2:A54"/>
  </sortState>
  <conditionalFormatting sqref="F1:F1048576">
    <cfRule type="containsText" dxfId="2" priority="2" operator="containsText" text="Bug fixed">
      <formula>NOT(ISERROR(SEARCH("Bug fixed",F1)))</formula>
    </cfRule>
    <cfRule type="containsText" dxfId="1" priority="1" operator="containsText" text="Error">
      <formula>NOT(ISERROR(SEARCH("Error",F1)))</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970F9-2B42-4B46-B679-6CEFB7733DA4}">
  <dimension ref="A1:E10"/>
  <sheetViews>
    <sheetView tabSelected="1" workbookViewId="0">
      <selection activeCell="E5" sqref="E5"/>
    </sheetView>
  </sheetViews>
  <sheetFormatPr defaultColWidth="23" defaultRowHeight="33" customHeight="1"/>
  <cols>
    <col min="1" max="1" width="23" style="6"/>
    <col min="2" max="2" width="23" style="7"/>
    <col min="3" max="3" width="23" style="3"/>
    <col min="4" max="4" width="23" style="6"/>
    <col min="5" max="5" width="23" style="7"/>
    <col min="6" max="16384" width="23" style="3"/>
  </cols>
  <sheetData>
    <row r="1" spans="1:5" ht="33" customHeight="1">
      <c r="A1" s="1" t="s">
        <v>206</v>
      </c>
      <c r="B1" s="2" cm="1">
        <f t="array" ref="B1">MAX(INDEX(IFERROR(VALUE(SUBSTITUTE(Tests!A:A, "ACCOUNT-", "")), 0), 0))</f>
        <v>2</v>
      </c>
      <c r="D1" s="19" t="s">
        <v>207</v>
      </c>
      <c r="E1" s="20">
        <f>COUNTIF(Tests!F:F, "Done")</f>
        <v>43</v>
      </c>
    </row>
    <row r="2" spans="1:5" ht="33" customHeight="1">
      <c r="A2" s="1" t="s">
        <v>208</v>
      </c>
      <c r="B2" s="2" cm="1">
        <f t="array" ref="B2">MAX(INDEX(IFERROR(VALUE(SUBSTITUTE(Tests!A:A, "ADMIN-", "")), 0), 0))</f>
        <v>7</v>
      </c>
      <c r="D2" s="19" t="s">
        <v>209</v>
      </c>
      <c r="E2" s="20">
        <f>COUNTIF(Tests!F:F, "Error")</f>
        <v>4</v>
      </c>
    </row>
    <row r="3" spans="1:5" ht="33" customHeight="1">
      <c r="A3" s="1" t="s">
        <v>210</v>
      </c>
      <c r="B3" s="2" cm="1">
        <f t="array" ref="B3">MAX(INDEX(IFERROR(VALUE(SUBSTITUTE(Tests!A:A, "CART-", "")), 0), 0))</f>
        <v>4</v>
      </c>
      <c r="D3" s="21" t="s">
        <v>211</v>
      </c>
      <c r="E3" s="5">
        <f>COUNTIF(Tests!F:F, "Bug fixed")</f>
        <v>3</v>
      </c>
    </row>
    <row r="4" spans="1:5" ht="33" customHeight="1">
      <c r="A4" s="1" t="s">
        <v>212</v>
      </c>
      <c r="B4" s="2" cm="1">
        <f t="array" ref="B4">MAX(INDEX(IFERROR(VALUE(SUBSTITUTE(Tests!A:A, "H-", "")), 0), 0))</f>
        <v>5</v>
      </c>
      <c r="D4" s="1" t="s">
        <v>213</v>
      </c>
      <c r="E4" s="2">
        <f>E2-E3</f>
        <v>1</v>
      </c>
    </row>
    <row r="5" spans="1:5" ht="33" customHeight="1">
      <c r="A5" s="1" t="s">
        <v>214</v>
      </c>
      <c r="B5" s="2" cm="1">
        <f t="array" ref="B5">MAX(INDEX(IFERROR(VALUE(SUBSTITUTE(Tests!A:A, "HOME-", "")), 0), 0))</f>
        <v>7</v>
      </c>
    </row>
    <row r="6" spans="1:5" ht="33" customHeight="1">
      <c r="A6" s="1" t="s">
        <v>215</v>
      </c>
      <c r="B6" s="2" cm="1">
        <f t="array" ref="B6">MAX(INDEX(IFERROR(VALUE(SUBSTITUTE(Tests!A:A, "LOGIN-", "")), 0), 0))</f>
        <v>4</v>
      </c>
    </row>
    <row r="7" spans="1:5" ht="33" customHeight="1">
      <c r="A7" s="1" t="s">
        <v>216</v>
      </c>
      <c r="B7" s="2" cm="1">
        <f t="array" ref="B7">MAX(INDEX(IFERROR(VALUE(SUBSTITUTE(Tests!A:A, "ORDER-", "")), 0), 0))</f>
        <v>4</v>
      </c>
    </row>
    <row r="8" spans="1:5" ht="33" customHeight="1">
      <c r="A8" s="1" t="s">
        <v>217</v>
      </c>
      <c r="B8" s="2" cm="1">
        <f t="array" ref="B8">MAX(INDEX(IFERROR(VALUE(SUBSTITUTE(Tests!A:A, "PROD-", "")), 0), 0))</f>
        <v>4</v>
      </c>
    </row>
    <row r="9" spans="1:5" ht="33" customHeight="1">
      <c r="A9" s="4" t="s">
        <v>218</v>
      </c>
      <c r="B9" s="5" cm="1">
        <f t="array" ref="B9">MAX(INDEX(IFERROR(VALUE(SUBSTITUTE(Tests!A:A, "SIGNUP-", "")), 0), 0))</f>
        <v>7</v>
      </c>
    </row>
    <row r="10" spans="1:5" ht="33" customHeight="1">
      <c r="A10" s="1" t="s">
        <v>219</v>
      </c>
      <c r="B10" s="2" cm="1">
        <f t="array" ref="B10">MAX(INDEX(IFERROR(VALUE(SUBSTITUTE(Tests!A:A, "THEME-", "")), 0), 0))</f>
        <v>5</v>
      </c>
    </row>
  </sheetData>
  <conditionalFormatting sqref="E4">
    <cfRule type="cellIs" dxfId="0" priority="1" operator="greaterThan">
      <formula>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rad</dc:creator>
  <cp:keywords/>
  <dc:description/>
  <cp:lastModifiedBy/>
  <cp:revision/>
  <dcterms:created xsi:type="dcterms:W3CDTF">2026-03-03T15:15:56Z</dcterms:created>
  <dcterms:modified xsi:type="dcterms:W3CDTF">2026-04-20T16:59:16Z</dcterms:modified>
  <cp:category/>
  <cp:contentStatus/>
</cp:coreProperties>
</file>